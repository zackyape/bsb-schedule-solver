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Jaga Juli 2026" sheetId="1" r:id="rId4"/>
  </sheets>
  <definedNames/>
  <calcPr/>
</workbook>
</file>

<file path=xl/sharedStrings.xml><?xml version="1.0" encoding="utf-8"?>
<sst xmlns="http://schemas.openxmlformats.org/spreadsheetml/2006/main" count="52" uniqueCount="26">
  <si>
    <t>REKAP JAGA GUDANG BSB - BULAN JULI 2026</t>
  </si>
  <si>
    <t>PIKET MALAM</t>
  </si>
  <si>
    <t>NAMA / TANGGAL</t>
  </si>
  <si>
    <t>TOTAL</t>
  </si>
  <si>
    <t>JUMLAH BIAYA</t>
  </si>
  <si>
    <t>HENDRO</t>
  </si>
  <si>
    <t>C</t>
  </si>
  <si>
    <t>A</t>
  </si>
  <si>
    <t>FARIKIN</t>
  </si>
  <si>
    <t>GILANG</t>
  </si>
  <si>
    <t>B</t>
  </si>
  <si>
    <t>RISKY</t>
  </si>
  <si>
    <t>ZAKI</t>
  </si>
  <si>
    <t>YANUAR</t>
  </si>
  <si>
    <t>ECOM</t>
  </si>
  <si>
    <t>PIKET MINGGU SIANG / PIKET SIANG</t>
  </si>
  <si>
    <t>TOTAL SUMMARY PEMBAYARAN</t>
  </si>
  <si>
    <t>NAMA</t>
  </si>
  <si>
    <t>MALAM</t>
  </si>
  <si>
    <t>MINGGU SIANG</t>
  </si>
  <si>
    <t>TOTAL DITERIMA</t>
  </si>
  <si>
    <t>KETENTUAN JAGA:</t>
  </si>
  <si>
    <t>1. WAJIB ABSEN: KAMAR UTARA DAN SELATAN WAJIB ADA, TIDAK BOLEH HANYA DI UTARA / SELATAN SAJA</t>
  </si>
  <si>
    <t>2. BUDGET JAGA MALAM 60.000/MALAM (MAX 3 ORANG /MALAM) -&gt; Dibagi rata Rp 20.000,- per orang per malam.</t>
  </si>
  <si>
    <t>3. BUDGET JAGA SIANG HARI MINGGU / LIBUR 65.000 PER ORANG (MAX 3 ORANG)</t>
  </si>
  <si>
    <t>4. DIBAYARKAN SETIAP AKHIR BULAN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</si>
</sst>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9">
    <font>
      <sz val="11.0"/>
      <color rgb="FF000000"/>
      <name val="Arial"/>
      <scheme val="minor"/>
    </font>
    <font>
      <b/>
      <sz val="16.0"/>
      <color rgb="FF1C2833"/>
      <name val="Quattrocento Sans"/>
    </font>
    <font>
      <b/>
      <sz val="11.0"/>
      <color rgb="FFFFFFFF"/>
      <name val="Quattrocento Sans"/>
    </font>
    <font/>
    <font>
      <b/>
      <sz val="10.0"/>
      <color rgb="FFFFFFFF"/>
      <name val="Quattrocento Sans"/>
    </font>
    <font>
      <b/>
      <sz val="10.0"/>
      <color rgb="FF2C3E50"/>
      <name val="Quattrocento Sans"/>
    </font>
    <font>
      <sz val="10.0"/>
      <color rgb="FF2C3E50"/>
      <name val="Quattrocento Sans"/>
    </font>
    <font>
      <b/>
      <sz val="12.0"/>
      <color rgb="FF1C2833"/>
      <name val="Quattrocento Sans"/>
    </font>
    <font>
      <i/>
      <sz val="9.0"/>
      <color rgb="FF7F8C8D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5D6D7E"/>
        <bgColor rgb="FF5D6D7E"/>
      </patternFill>
    </fill>
    <fill>
      <patternFill patternType="solid">
        <fgColor rgb="FFFADBD8"/>
        <bgColor rgb="FFFADBD8"/>
      </patternFill>
    </fill>
    <fill>
      <patternFill patternType="solid">
        <fgColor rgb="FFE5E8E8"/>
        <bgColor rgb="FFE5E8E8"/>
      </patternFill>
    </fill>
  </fills>
  <borders count="4">
    <border/>
    <border>
      <left/>
      <top/>
      <bottom/>
    </border>
    <border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3" fillId="0" fontId="6" numFmtId="0" xfId="0" applyAlignment="1" applyBorder="1" applyFont="1">
      <alignment horizontal="center" vertical="center"/>
    </xf>
    <xf borderId="3" fillId="4" fontId="6" numFmtId="0" xfId="0" applyAlignment="1" applyBorder="1" applyFill="1" applyFont="1">
      <alignment horizontal="center" readingOrder="0" vertical="center"/>
    </xf>
    <xf borderId="3" fillId="4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164" xfId="0" applyAlignment="1" applyBorder="1" applyFont="1" applyNumberFormat="1">
      <alignment horizontal="right" vertical="center"/>
    </xf>
    <xf borderId="0" fillId="0" fontId="7" numFmtId="0" xfId="0" applyFont="1"/>
    <xf borderId="3" fillId="2" fontId="4" numFmtId="0" xfId="0" applyAlignment="1" applyBorder="1" applyFont="1">
      <alignment horizontal="center" vertical="center"/>
    </xf>
    <xf borderId="3" fillId="0" fontId="6" numFmtId="164" xfId="0" applyAlignment="1" applyBorder="1" applyFont="1" applyNumberFormat="1">
      <alignment horizontal="right" vertical="center"/>
    </xf>
    <xf borderId="3" fillId="5" fontId="5" numFmtId="0" xfId="0" applyBorder="1" applyFill="1" applyFont="1"/>
    <xf borderId="3" fillId="5" fontId="5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1.0"/>
    <col customWidth="1" min="2" max="32" width="3.5"/>
    <col customWidth="1" min="33" max="33" width="7.0"/>
    <col customWidth="1" min="34" max="34" width="14.0"/>
  </cols>
  <sheetData>
    <row r="1" ht="39.75" customHeight="1">
      <c r="A1" s="1" t="s">
        <v>0</v>
      </c>
    </row>
    <row r="3" ht="24.75" customHeight="1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4.75" customHeight="1">
      <c r="A4" s="4" t="s">
        <v>2</v>
      </c>
      <c r="B4" s="4">
        <v>1.0</v>
      </c>
      <c r="C4" s="4">
        <v>2.0</v>
      </c>
      <c r="D4" s="4">
        <v>3.0</v>
      </c>
      <c r="E4" s="4">
        <v>4.0</v>
      </c>
      <c r="F4" s="4">
        <v>5.0</v>
      </c>
      <c r="G4" s="4">
        <v>6.0</v>
      </c>
      <c r="H4" s="4">
        <v>7.0</v>
      </c>
      <c r="I4" s="4">
        <v>8.0</v>
      </c>
      <c r="J4" s="4">
        <v>9.0</v>
      </c>
      <c r="K4" s="4">
        <v>10.0</v>
      </c>
      <c r="L4" s="4">
        <v>11.0</v>
      </c>
      <c r="M4" s="4">
        <v>12.0</v>
      </c>
      <c r="N4" s="4">
        <v>13.0</v>
      </c>
      <c r="O4" s="4">
        <v>14.0</v>
      </c>
      <c r="P4" s="4">
        <v>15.0</v>
      </c>
      <c r="Q4" s="4">
        <v>16.0</v>
      </c>
      <c r="R4" s="4">
        <v>17.0</v>
      </c>
      <c r="S4" s="4">
        <v>18.0</v>
      </c>
      <c r="T4" s="4">
        <v>19.0</v>
      </c>
      <c r="U4" s="4">
        <v>20.0</v>
      </c>
      <c r="V4" s="4">
        <v>21.0</v>
      </c>
      <c r="W4" s="4">
        <v>22.0</v>
      </c>
      <c r="X4" s="4">
        <v>23.0</v>
      </c>
      <c r="Y4" s="4">
        <v>24.0</v>
      </c>
      <c r="Z4" s="4">
        <v>25.0</v>
      </c>
      <c r="AA4" s="4">
        <v>26.0</v>
      </c>
      <c r="AB4" s="4">
        <v>27.0</v>
      </c>
      <c r="AC4" s="4">
        <v>28.0</v>
      </c>
      <c r="AD4" s="4">
        <v>29.0</v>
      </c>
      <c r="AE4" s="4">
        <v>30.0</v>
      </c>
      <c r="AF4" s="4">
        <v>31.0</v>
      </c>
      <c r="AG4" s="4" t="s">
        <v>3</v>
      </c>
      <c r="AH4" s="4" t="s">
        <v>4</v>
      </c>
    </row>
    <row r="5" ht="19.5" customHeight="1">
      <c r="A5" s="5" t="s">
        <v>5</v>
      </c>
      <c r="B5" s="6" t="s">
        <v>6</v>
      </c>
      <c r="C5" s="6"/>
      <c r="D5" s="6" t="s">
        <v>7</v>
      </c>
      <c r="E5" s="6"/>
      <c r="F5" s="7">
        <v>1.0</v>
      </c>
      <c r="G5" s="6">
        <v>1.0</v>
      </c>
      <c r="H5" s="6"/>
      <c r="I5" s="6">
        <v>1.0</v>
      </c>
      <c r="J5" s="6"/>
      <c r="K5" s="6">
        <v>1.0</v>
      </c>
      <c r="L5" s="6"/>
      <c r="M5" s="8"/>
      <c r="N5" s="6">
        <v>1.0</v>
      </c>
      <c r="O5" s="6"/>
      <c r="P5" s="6">
        <v>1.0</v>
      </c>
      <c r="Q5" s="6"/>
      <c r="R5" s="6">
        <v>1.0</v>
      </c>
      <c r="S5" s="6"/>
      <c r="T5" s="8">
        <v>1.0</v>
      </c>
      <c r="U5" s="6">
        <v>1.0</v>
      </c>
      <c r="V5" s="6"/>
      <c r="W5" s="6">
        <v>1.0</v>
      </c>
      <c r="X5" s="6"/>
      <c r="Y5" s="6">
        <v>1.0</v>
      </c>
      <c r="Z5" s="6"/>
      <c r="AA5" s="8"/>
      <c r="AB5" s="6">
        <v>1.0</v>
      </c>
      <c r="AC5" s="6"/>
      <c r="AD5" s="6">
        <v>1.0</v>
      </c>
      <c r="AE5" s="6"/>
      <c r="AF5" s="6">
        <v>1.0</v>
      </c>
      <c r="AG5" s="9" t="str">
        <f t="shared" ref="AG5:AG11" si="1">COUNT(B5:AF5)</f>
        <v>14</v>
      </c>
      <c r="AH5" s="10" t="str">
        <f t="shared" ref="AH5:AH11" si="2">AG5*20000</f>
        <v>Rp280,000</v>
      </c>
    </row>
    <row r="6" ht="19.5" customHeight="1">
      <c r="A6" s="5" t="s">
        <v>8</v>
      </c>
      <c r="B6" s="6"/>
      <c r="C6" s="6"/>
      <c r="D6" s="6" t="s">
        <v>6</v>
      </c>
      <c r="E6" s="6" t="s">
        <v>7</v>
      </c>
      <c r="F6" s="8"/>
      <c r="G6" s="6"/>
      <c r="H6" s="6"/>
      <c r="I6" s="6">
        <v>1.0</v>
      </c>
      <c r="J6" s="6">
        <v>1.0</v>
      </c>
      <c r="K6" s="6"/>
      <c r="L6" s="6">
        <v>1.0</v>
      </c>
      <c r="M6" s="8">
        <v>1.0</v>
      </c>
      <c r="N6" s="6"/>
      <c r="O6" s="6"/>
      <c r="P6" s="6">
        <v>1.0</v>
      </c>
      <c r="Q6" s="6">
        <v>1.0</v>
      </c>
      <c r="R6" s="6"/>
      <c r="S6" s="6">
        <v>1.0</v>
      </c>
      <c r="T6" s="8"/>
      <c r="U6" s="6"/>
      <c r="V6" s="6"/>
      <c r="W6" s="6">
        <v>1.0</v>
      </c>
      <c r="X6" s="6">
        <v>1.0</v>
      </c>
      <c r="Y6" s="6"/>
      <c r="Z6" s="6">
        <v>1.0</v>
      </c>
      <c r="AA6" s="8">
        <v>1.0</v>
      </c>
      <c r="AB6" s="6"/>
      <c r="AC6" s="6"/>
      <c r="AD6" s="6">
        <v>1.0</v>
      </c>
      <c r="AE6" s="6">
        <v>1.0</v>
      </c>
      <c r="AF6" s="6"/>
      <c r="AG6" s="9" t="str">
        <f t="shared" si="1"/>
        <v>13</v>
      </c>
      <c r="AH6" s="10" t="str">
        <f t="shared" si="2"/>
        <v>Rp260,000</v>
      </c>
    </row>
    <row r="7" ht="19.5" customHeight="1">
      <c r="A7" s="5" t="s">
        <v>9</v>
      </c>
      <c r="B7" s="6" t="s">
        <v>7</v>
      </c>
      <c r="C7" s="6"/>
      <c r="D7" s="6" t="s">
        <v>10</v>
      </c>
      <c r="E7" s="6"/>
      <c r="F7" s="7">
        <v>1.0</v>
      </c>
      <c r="G7" s="6">
        <v>1.0</v>
      </c>
      <c r="H7" s="6"/>
      <c r="I7" s="6">
        <v>1.0</v>
      </c>
      <c r="J7" s="6"/>
      <c r="K7" s="6">
        <v>1.0</v>
      </c>
      <c r="L7" s="6"/>
      <c r="M7" s="8"/>
      <c r="N7" s="6">
        <v>1.0</v>
      </c>
      <c r="O7" s="6"/>
      <c r="P7" s="6">
        <v>1.0</v>
      </c>
      <c r="Q7" s="6"/>
      <c r="R7" s="6">
        <v>1.0</v>
      </c>
      <c r="S7" s="6"/>
      <c r="T7" s="8">
        <v>1.0</v>
      </c>
      <c r="U7" s="6">
        <v>1.0</v>
      </c>
      <c r="V7" s="6"/>
      <c r="W7" s="6">
        <v>1.0</v>
      </c>
      <c r="X7" s="6"/>
      <c r="Y7" s="6">
        <v>1.0</v>
      </c>
      <c r="Z7" s="6"/>
      <c r="AA7" s="8"/>
      <c r="AB7" s="6">
        <v>1.0</v>
      </c>
      <c r="AC7" s="6"/>
      <c r="AD7" s="6">
        <v>1.0</v>
      </c>
      <c r="AE7" s="6"/>
      <c r="AF7" s="6">
        <v>1.0</v>
      </c>
      <c r="AG7" s="9" t="str">
        <f t="shared" si="1"/>
        <v>14</v>
      </c>
      <c r="AH7" s="10" t="str">
        <f t="shared" si="2"/>
        <v>Rp280,000</v>
      </c>
    </row>
    <row r="8" ht="19.5" customHeight="1">
      <c r="A8" s="5" t="s">
        <v>11</v>
      </c>
      <c r="B8" s="6"/>
      <c r="C8" s="6" t="s">
        <v>10</v>
      </c>
      <c r="D8" s="6"/>
      <c r="E8" s="6" t="s">
        <v>6</v>
      </c>
      <c r="F8" s="8"/>
      <c r="G8" s="6"/>
      <c r="H8" s="6">
        <v>1.0</v>
      </c>
      <c r="I8" s="6"/>
      <c r="J8" s="6">
        <v>1.0</v>
      </c>
      <c r="K8" s="6"/>
      <c r="L8" s="6">
        <v>1.0</v>
      </c>
      <c r="M8" s="8">
        <v>1.0</v>
      </c>
      <c r="N8" s="6"/>
      <c r="O8" s="6">
        <v>1.0</v>
      </c>
      <c r="P8" s="6"/>
      <c r="Q8" s="6">
        <v>1.0</v>
      </c>
      <c r="R8" s="6"/>
      <c r="S8" s="6">
        <v>1.0</v>
      </c>
      <c r="T8" s="8"/>
      <c r="U8" s="6"/>
      <c r="V8" s="6">
        <v>1.0</v>
      </c>
      <c r="W8" s="6"/>
      <c r="X8" s="6">
        <v>1.0</v>
      </c>
      <c r="Y8" s="6"/>
      <c r="Z8" s="6">
        <v>1.0</v>
      </c>
      <c r="AA8" s="8">
        <v>1.0</v>
      </c>
      <c r="AB8" s="6"/>
      <c r="AC8" s="6">
        <v>1.0</v>
      </c>
      <c r="AD8" s="6"/>
      <c r="AE8" s="6">
        <v>1.0</v>
      </c>
      <c r="AF8" s="6"/>
      <c r="AG8" s="9" t="str">
        <f t="shared" si="1"/>
        <v>13</v>
      </c>
      <c r="AH8" s="10" t="str">
        <f t="shared" si="2"/>
        <v>Rp260,000</v>
      </c>
    </row>
    <row r="9" ht="19.5" customHeight="1">
      <c r="A9" s="5" t="s">
        <v>12</v>
      </c>
      <c r="B9" s="6" t="s">
        <v>10</v>
      </c>
      <c r="C9" s="6" t="s">
        <v>6</v>
      </c>
      <c r="D9" s="6"/>
      <c r="E9" s="6"/>
      <c r="F9" s="7">
        <v>1.0</v>
      </c>
      <c r="G9" s="6">
        <v>1.0</v>
      </c>
      <c r="H9" s="6">
        <v>1.0</v>
      </c>
      <c r="I9" s="6"/>
      <c r="J9" s="6"/>
      <c r="K9" s="6">
        <v>1.0</v>
      </c>
      <c r="L9" s="6"/>
      <c r="M9" s="8"/>
      <c r="N9" s="6">
        <v>1.0</v>
      </c>
      <c r="O9" s="6">
        <v>1.0</v>
      </c>
      <c r="P9" s="6"/>
      <c r="Q9" s="6"/>
      <c r="R9" s="6">
        <v>1.0</v>
      </c>
      <c r="S9" s="6"/>
      <c r="T9" s="8">
        <v>1.0</v>
      </c>
      <c r="U9" s="6">
        <v>1.0</v>
      </c>
      <c r="V9" s="6">
        <v>1.0</v>
      </c>
      <c r="W9" s="6"/>
      <c r="X9" s="6"/>
      <c r="Y9" s="6">
        <v>1.0</v>
      </c>
      <c r="Z9" s="6"/>
      <c r="AA9" s="8"/>
      <c r="AB9" s="6">
        <v>1.0</v>
      </c>
      <c r="AC9" s="6">
        <v>1.0</v>
      </c>
      <c r="AD9" s="6"/>
      <c r="AE9" s="6"/>
      <c r="AF9" s="6">
        <v>1.0</v>
      </c>
      <c r="AG9" s="9" t="str">
        <f t="shared" si="1"/>
        <v>14</v>
      </c>
      <c r="AH9" s="10" t="str">
        <f t="shared" si="2"/>
        <v>Rp280,000</v>
      </c>
    </row>
    <row r="10" ht="19.5" customHeight="1">
      <c r="A10" s="5" t="s">
        <v>13</v>
      </c>
      <c r="B10" s="6"/>
      <c r="C10" s="6" t="s">
        <v>7</v>
      </c>
      <c r="D10" s="6"/>
      <c r="E10" s="6" t="s">
        <v>10</v>
      </c>
      <c r="F10" s="8"/>
      <c r="G10" s="6"/>
      <c r="H10" s="6">
        <v>1.0</v>
      </c>
      <c r="I10" s="6"/>
      <c r="J10" s="6">
        <v>1.0</v>
      </c>
      <c r="K10" s="6"/>
      <c r="L10" s="6">
        <v>1.0</v>
      </c>
      <c r="M10" s="8">
        <v>1.0</v>
      </c>
      <c r="N10" s="6"/>
      <c r="O10" s="6">
        <v>1.0</v>
      </c>
      <c r="P10" s="6"/>
      <c r="Q10" s="6">
        <v>1.0</v>
      </c>
      <c r="R10" s="6"/>
      <c r="S10" s="6">
        <v>1.0</v>
      </c>
      <c r="T10" s="8"/>
      <c r="U10" s="6"/>
      <c r="V10" s="6">
        <v>1.0</v>
      </c>
      <c r="W10" s="6"/>
      <c r="X10" s="6">
        <v>1.0</v>
      </c>
      <c r="Y10" s="6"/>
      <c r="Z10" s="6">
        <v>1.0</v>
      </c>
      <c r="AA10" s="8">
        <v>1.0</v>
      </c>
      <c r="AB10" s="6"/>
      <c r="AC10" s="6">
        <v>1.0</v>
      </c>
      <c r="AD10" s="6"/>
      <c r="AE10" s="6">
        <v>1.0</v>
      </c>
      <c r="AF10" s="6"/>
      <c r="AG10" s="9" t="str">
        <f t="shared" si="1"/>
        <v>13</v>
      </c>
      <c r="AH10" s="10" t="str">
        <f t="shared" si="2"/>
        <v>Rp260,000</v>
      </c>
    </row>
    <row r="11" ht="19.5" customHeight="1">
      <c r="A11" s="5" t="s">
        <v>14</v>
      </c>
      <c r="B11" s="6">
        <v>1.0</v>
      </c>
      <c r="C11" s="6">
        <v>1.0</v>
      </c>
      <c r="D11" s="6">
        <v>1.0</v>
      </c>
      <c r="E11" s="6">
        <v>1.0</v>
      </c>
      <c r="F11" s="8"/>
      <c r="G11" s="6">
        <v>1.0</v>
      </c>
      <c r="H11" s="6">
        <v>1.0</v>
      </c>
      <c r="I11" s="6">
        <v>1.0</v>
      </c>
      <c r="J11" s="6">
        <v>1.0</v>
      </c>
      <c r="K11" s="6">
        <v>1.0</v>
      </c>
      <c r="L11" s="6">
        <v>1.0</v>
      </c>
      <c r="M11" s="8"/>
      <c r="N11" s="6">
        <v>1.0</v>
      </c>
      <c r="O11" s="6">
        <v>1.0</v>
      </c>
      <c r="P11" s="6">
        <v>1.0</v>
      </c>
      <c r="Q11" s="6">
        <v>1.0</v>
      </c>
      <c r="R11" s="6">
        <v>1.0</v>
      </c>
      <c r="S11" s="6">
        <v>1.0</v>
      </c>
      <c r="T11" s="8"/>
      <c r="U11" s="6">
        <v>1.0</v>
      </c>
      <c r="V11" s="6">
        <v>1.0</v>
      </c>
      <c r="W11" s="6">
        <v>1.0</v>
      </c>
      <c r="X11" s="6">
        <v>1.0</v>
      </c>
      <c r="Y11" s="6">
        <v>1.0</v>
      </c>
      <c r="Z11" s="6">
        <v>1.0</v>
      </c>
      <c r="AA11" s="8"/>
      <c r="AB11" s="6">
        <v>1.0</v>
      </c>
      <c r="AC11" s="6">
        <v>1.0</v>
      </c>
      <c r="AD11" s="6">
        <v>1.0</v>
      </c>
      <c r="AE11" s="6">
        <v>1.0</v>
      </c>
      <c r="AF11" s="6">
        <v>1.0</v>
      </c>
      <c r="AG11" s="9" t="str">
        <f t="shared" si="1"/>
        <v>27</v>
      </c>
      <c r="AH11" s="10" t="str">
        <f t="shared" si="2"/>
        <v>Rp540,000</v>
      </c>
    </row>
    <row r="13" ht="24.75" customHeight="1">
      <c r="A13" s="2" t="s">
        <v>15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4.75" customHeight="1">
      <c r="A14" s="4" t="s">
        <v>2</v>
      </c>
      <c r="B14" s="4">
        <v>1.0</v>
      </c>
      <c r="C14" s="4">
        <v>2.0</v>
      </c>
      <c r="D14" s="4">
        <v>3.0</v>
      </c>
      <c r="E14" s="4">
        <v>4.0</v>
      </c>
      <c r="F14" s="4">
        <v>5.0</v>
      </c>
      <c r="G14" s="4">
        <v>6.0</v>
      </c>
      <c r="H14" s="4">
        <v>7.0</v>
      </c>
      <c r="I14" s="4">
        <v>8.0</v>
      </c>
      <c r="J14" s="4">
        <v>9.0</v>
      </c>
      <c r="K14" s="4">
        <v>10.0</v>
      </c>
      <c r="L14" s="4">
        <v>11.0</v>
      </c>
      <c r="M14" s="4">
        <v>12.0</v>
      </c>
      <c r="N14" s="4">
        <v>13.0</v>
      </c>
      <c r="O14" s="4">
        <v>14.0</v>
      </c>
      <c r="P14" s="4">
        <v>15.0</v>
      </c>
      <c r="Q14" s="4">
        <v>16.0</v>
      </c>
      <c r="R14" s="4">
        <v>17.0</v>
      </c>
      <c r="S14" s="4">
        <v>18.0</v>
      </c>
      <c r="T14" s="4">
        <v>19.0</v>
      </c>
      <c r="U14" s="4">
        <v>20.0</v>
      </c>
      <c r="V14" s="4">
        <v>21.0</v>
      </c>
      <c r="W14" s="4">
        <v>22.0</v>
      </c>
      <c r="X14" s="4">
        <v>23.0</v>
      </c>
      <c r="Y14" s="4">
        <v>24.0</v>
      </c>
      <c r="Z14" s="4">
        <v>25.0</v>
      </c>
      <c r="AA14" s="4">
        <v>26.0</v>
      </c>
      <c r="AB14" s="4">
        <v>27.0</v>
      </c>
      <c r="AC14" s="4">
        <v>28.0</v>
      </c>
      <c r="AD14" s="4">
        <v>29.0</v>
      </c>
      <c r="AE14" s="4">
        <v>30.0</v>
      </c>
      <c r="AF14" s="4">
        <v>31.0</v>
      </c>
      <c r="AG14" s="4" t="s">
        <v>3</v>
      </c>
      <c r="AH14" s="4" t="s">
        <v>4</v>
      </c>
    </row>
    <row r="15" ht="19.5" customHeight="1">
      <c r="A15" s="5" t="s">
        <v>5</v>
      </c>
      <c r="B15" s="6"/>
      <c r="C15" s="6"/>
      <c r="D15" s="6"/>
      <c r="E15" s="6"/>
      <c r="F15" s="8">
        <v>1.0</v>
      </c>
      <c r="G15" s="6"/>
      <c r="H15" s="6"/>
      <c r="I15" s="6"/>
      <c r="J15" s="6"/>
      <c r="K15" s="6"/>
      <c r="L15" s="6"/>
      <c r="M15" s="8"/>
      <c r="N15" s="6"/>
      <c r="O15" s="6"/>
      <c r="P15" s="6"/>
      <c r="Q15" s="6"/>
      <c r="R15" s="6"/>
      <c r="S15" s="6"/>
      <c r="T15" s="8">
        <v>1.0</v>
      </c>
      <c r="U15" s="6"/>
      <c r="V15" s="6"/>
      <c r="W15" s="6"/>
      <c r="X15" s="6"/>
      <c r="Y15" s="6"/>
      <c r="Z15" s="6"/>
      <c r="AA15" s="8"/>
      <c r="AB15" s="6"/>
      <c r="AC15" s="6"/>
      <c r="AD15" s="6"/>
      <c r="AE15" s="6"/>
      <c r="AF15" s="6"/>
      <c r="AG15" s="9" t="str">
        <f t="shared" ref="AG15:AG20" si="3">COUNT(B15:AF15)</f>
        <v>2</v>
      </c>
      <c r="AH15" s="10" t="str">
        <f t="shared" ref="AH15:AH20" si="4">AG15*65000</f>
        <v>Rp130,000</v>
      </c>
    </row>
    <row r="16" ht="19.5" customHeight="1">
      <c r="A16" s="5" t="s">
        <v>8</v>
      </c>
      <c r="B16" s="6"/>
      <c r="C16" s="6"/>
      <c r="D16" s="6"/>
      <c r="E16" s="6"/>
      <c r="F16" s="8"/>
      <c r="G16" s="6"/>
      <c r="H16" s="6"/>
      <c r="I16" s="6"/>
      <c r="J16" s="6"/>
      <c r="K16" s="6"/>
      <c r="L16" s="6"/>
      <c r="M16" s="8">
        <v>1.0</v>
      </c>
      <c r="N16" s="6"/>
      <c r="O16" s="6"/>
      <c r="P16" s="6"/>
      <c r="Q16" s="6"/>
      <c r="R16" s="6"/>
      <c r="S16" s="6"/>
      <c r="T16" s="8"/>
      <c r="U16" s="6"/>
      <c r="V16" s="6"/>
      <c r="W16" s="6"/>
      <c r="X16" s="6"/>
      <c r="Y16" s="6"/>
      <c r="Z16" s="6"/>
      <c r="AA16" s="8">
        <v>1.0</v>
      </c>
      <c r="AB16" s="6"/>
      <c r="AC16" s="6"/>
      <c r="AD16" s="6"/>
      <c r="AE16" s="6"/>
      <c r="AF16" s="6"/>
      <c r="AG16" s="9" t="str">
        <f t="shared" si="3"/>
        <v>2</v>
      </c>
      <c r="AH16" s="10" t="str">
        <f t="shared" si="4"/>
        <v>Rp130,000</v>
      </c>
    </row>
    <row r="17" ht="19.5" customHeight="1">
      <c r="A17" s="5" t="s">
        <v>9</v>
      </c>
      <c r="B17" s="6"/>
      <c r="C17" s="6"/>
      <c r="D17" s="6"/>
      <c r="E17" s="6"/>
      <c r="F17" s="8">
        <v>1.0</v>
      </c>
      <c r="G17" s="6"/>
      <c r="H17" s="6"/>
      <c r="I17" s="6"/>
      <c r="J17" s="6"/>
      <c r="K17" s="6"/>
      <c r="L17" s="6"/>
      <c r="M17" s="8"/>
      <c r="N17" s="6"/>
      <c r="O17" s="6"/>
      <c r="P17" s="6"/>
      <c r="Q17" s="6"/>
      <c r="R17" s="6"/>
      <c r="S17" s="6"/>
      <c r="T17" s="8">
        <v>1.0</v>
      </c>
      <c r="U17" s="6"/>
      <c r="V17" s="6"/>
      <c r="W17" s="6"/>
      <c r="X17" s="6"/>
      <c r="Y17" s="6"/>
      <c r="Z17" s="6"/>
      <c r="AA17" s="8"/>
      <c r="AB17" s="6"/>
      <c r="AC17" s="6"/>
      <c r="AD17" s="6"/>
      <c r="AE17" s="6"/>
      <c r="AF17" s="6"/>
      <c r="AG17" s="9" t="str">
        <f t="shared" si="3"/>
        <v>2</v>
      </c>
      <c r="AH17" s="10" t="str">
        <f t="shared" si="4"/>
        <v>Rp130,000</v>
      </c>
    </row>
    <row r="18" ht="19.5" customHeight="1">
      <c r="A18" s="5" t="s">
        <v>11</v>
      </c>
      <c r="B18" s="6"/>
      <c r="C18" s="6"/>
      <c r="D18" s="6"/>
      <c r="E18" s="6"/>
      <c r="F18" s="8"/>
      <c r="G18" s="6"/>
      <c r="H18" s="6"/>
      <c r="I18" s="6"/>
      <c r="J18" s="6"/>
      <c r="K18" s="6"/>
      <c r="L18" s="6"/>
      <c r="M18" s="8">
        <v>1.0</v>
      </c>
      <c r="N18" s="6"/>
      <c r="O18" s="6"/>
      <c r="P18" s="6"/>
      <c r="Q18" s="6"/>
      <c r="R18" s="6"/>
      <c r="S18" s="6"/>
      <c r="T18" s="8"/>
      <c r="U18" s="6"/>
      <c r="V18" s="6"/>
      <c r="W18" s="6"/>
      <c r="X18" s="6"/>
      <c r="Y18" s="6"/>
      <c r="Z18" s="6"/>
      <c r="AA18" s="8">
        <v>1.0</v>
      </c>
      <c r="AB18" s="6"/>
      <c r="AC18" s="6"/>
      <c r="AD18" s="6"/>
      <c r="AE18" s="6"/>
      <c r="AF18" s="6"/>
      <c r="AG18" s="9" t="str">
        <f t="shared" si="3"/>
        <v>2</v>
      </c>
      <c r="AH18" s="10" t="str">
        <f t="shared" si="4"/>
        <v>Rp130,000</v>
      </c>
    </row>
    <row r="19" ht="19.5" customHeight="1">
      <c r="A19" s="5" t="s">
        <v>12</v>
      </c>
      <c r="B19" s="6"/>
      <c r="C19" s="6"/>
      <c r="D19" s="6"/>
      <c r="E19" s="6"/>
      <c r="F19" s="8">
        <v>1.0</v>
      </c>
      <c r="G19" s="6"/>
      <c r="H19" s="6"/>
      <c r="I19" s="6"/>
      <c r="J19" s="6"/>
      <c r="K19" s="6"/>
      <c r="L19" s="6"/>
      <c r="M19" s="8"/>
      <c r="N19" s="6"/>
      <c r="O19" s="6"/>
      <c r="P19" s="6"/>
      <c r="Q19" s="6"/>
      <c r="R19" s="6"/>
      <c r="S19" s="6"/>
      <c r="T19" s="8">
        <v>1.0</v>
      </c>
      <c r="U19" s="6"/>
      <c r="V19" s="6"/>
      <c r="W19" s="6"/>
      <c r="X19" s="6"/>
      <c r="Y19" s="6"/>
      <c r="Z19" s="6"/>
      <c r="AA19" s="8"/>
      <c r="AB19" s="6"/>
      <c r="AC19" s="6"/>
      <c r="AD19" s="6"/>
      <c r="AE19" s="6"/>
      <c r="AF19" s="6"/>
      <c r="AG19" s="9" t="str">
        <f t="shared" si="3"/>
        <v>2</v>
      </c>
      <c r="AH19" s="10" t="str">
        <f t="shared" si="4"/>
        <v>Rp130,000</v>
      </c>
    </row>
    <row r="20" ht="19.5" customHeight="1">
      <c r="A20" s="5" t="s">
        <v>13</v>
      </c>
      <c r="B20" s="6"/>
      <c r="C20" s="6"/>
      <c r="D20" s="6"/>
      <c r="E20" s="6"/>
      <c r="F20" s="8"/>
      <c r="G20" s="6"/>
      <c r="H20" s="6"/>
      <c r="I20" s="6"/>
      <c r="J20" s="6"/>
      <c r="K20" s="6"/>
      <c r="L20" s="6"/>
      <c r="M20" s="8">
        <v>1.0</v>
      </c>
      <c r="N20" s="6"/>
      <c r="O20" s="6"/>
      <c r="P20" s="6"/>
      <c r="Q20" s="6"/>
      <c r="R20" s="6"/>
      <c r="S20" s="6"/>
      <c r="T20" s="8"/>
      <c r="U20" s="6"/>
      <c r="V20" s="6"/>
      <c r="W20" s="6"/>
      <c r="X20" s="6"/>
      <c r="Y20" s="6"/>
      <c r="Z20" s="6"/>
      <c r="AA20" s="8">
        <v>1.0</v>
      </c>
      <c r="AB20" s="6"/>
      <c r="AC20" s="6"/>
      <c r="AD20" s="6"/>
      <c r="AE20" s="6"/>
      <c r="AF20" s="6"/>
      <c r="AG20" s="9" t="str">
        <f t="shared" si="3"/>
        <v>2</v>
      </c>
      <c r="AH20" s="10" t="str">
        <f t="shared" si="4"/>
        <v>Rp130,000</v>
      </c>
    </row>
    <row r="21" ht="15.75" customHeight="1"/>
    <row r="22" ht="15.75" customHeight="1"/>
    <row r="23" ht="15.75" customHeight="1">
      <c r="A23" s="11" t="s">
        <v>16</v>
      </c>
    </row>
    <row r="24" ht="21.75" customHeight="1">
      <c r="A24" s="12" t="s">
        <v>17</v>
      </c>
      <c r="B24" s="12" t="s">
        <v>18</v>
      </c>
      <c r="C24" s="12" t="s">
        <v>19</v>
      </c>
      <c r="D24" s="12" t="s">
        <v>20</v>
      </c>
    </row>
    <row r="25" ht="19.5" customHeight="1">
      <c r="A25" s="5" t="s">
        <v>5</v>
      </c>
      <c r="B25" s="13" t="str">
        <f t="shared" ref="B25:B31" si="5">AH5</f>
        <v>Rp280,000</v>
      </c>
      <c r="C25" s="13" t="str">
        <f t="shared" ref="C25:C30" si="6">AH15</f>
        <v>Rp130,000</v>
      </c>
      <c r="D25" s="10" t="str">
        <f t="shared" ref="D25:D31" si="7">SUM(B25:C25)</f>
        <v>Rp410,000</v>
      </c>
    </row>
    <row r="26" ht="19.5" customHeight="1">
      <c r="A26" s="5" t="s">
        <v>8</v>
      </c>
      <c r="B26" s="13" t="str">
        <f t="shared" si="5"/>
        <v>Rp260,000</v>
      </c>
      <c r="C26" s="13" t="str">
        <f t="shared" si="6"/>
        <v>Rp130,000</v>
      </c>
      <c r="D26" s="10" t="str">
        <f t="shared" si="7"/>
        <v>Rp390,000</v>
      </c>
    </row>
    <row r="27" ht="19.5" customHeight="1">
      <c r="A27" s="5" t="s">
        <v>9</v>
      </c>
      <c r="B27" s="13" t="str">
        <f t="shared" si="5"/>
        <v>Rp280,000</v>
      </c>
      <c r="C27" s="13" t="str">
        <f t="shared" si="6"/>
        <v>Rp130,000</v>
      </c>
      <c r="D27" s="10" t="str">
        <f t="shared" si="7"/>
        <v>Rp410,000</v>
      </c>
    </row>
    <row r="28" ht="19.5" customHeight="1">
      <c r="A28" s="5" t="s">
        <v>11</v>
      </c>
      <c r="B28" s="13" t="str">
        <f t="shared" si="5"/>
        <v>Rp260,000</v>
      </c>
      <c r="C28" s="13" t="str">
        <f t="shared" si="6"/>
        <v>Rp130,000</v>
      </c>
      <c r="D28" s="10" t="str">
        <f t="shared" si="7"/>
        <v>Rp390,000</v>
      </c>
    </row>
    <row r="29" ht="19.5" customHeight="1">
      <c r="A29" s="5" t="s">
        <v>12</v>
      </c>
      <c r="B29" s="13" t="str">
        <f t="shared" si="5"/>
        <v>Rp280,000</v>
      </c>
      <c r="C29" s="13" t="str">
        <f t="shared" si="6"/>
        <v>Rp130,000</v>
      </c>
      <c r="D29" s="10" t="str">
        <f t="shared" si="7"/>
        <v>Rp410,000</v>
      </c>
    </row>
    <row r="30" ht="19.5" customHeight="1">
      <c r="A30" s="5" t="s">
        <v>13</v>
      </c>
      <c r="B30" s="13" t="str">
        <f t="shared" si="5"/>
        <v>Rp260,000</v>
      </c>
      <c r="C30" s="13" t="str">
        <f t="shared" si="6"/>
        <v>Rp130,000</v>
      </c>
      <c r="D30" s="10" t="str">
        <f t="shared" si="7"/>
        <v>Rp390,000</v>
      </c>
    </row>
    <row r="31" ht="19.5" customHeight="1">
      <c r="A31" s="5" t="s">
        <v>14</v>
      </c>
      <c r="B31" s="13" t="str">
        <f t="shared" si="5"/>
        <v>Rp540,000</v>
      </c>
      <c r="C31" s="13">
        <v>0.0</v>
      </c>
      <c r="D31" s="10" t="str">
        <f t="shared" si="7"/>
        <v>Rp540,000</v>
      </c>
    </row>
    <row r="32" ht="21.75" customHeight="1">
      <c r="A32" s="14" t="s">
        <v>3</v>
      </c>
      <c r="B32" s="15" t="str">
        <f t="shared" ref="B32:D32" si="8">SUM(B25:B31)</f>
        <v>Rp2,160,000</v>
      </c>
      <c r="C32" s="15" t="str">
        <f t="shared" si="8"/>
        <v>Rp780,000</v>
      </c>
      <c r="D32" s="15" t="str">
        <f t="shared" si="8"/>
        <v>Rp2,940,000</v>
      </c>
    </row>
    <row r="33" ht="15.75" customHeight="1"/>
    <row r="34" ht="15.75" customHeight="1">
      <c r="A34" s="16" t="s">
        <v>21</v>
      </c>
    </row>
    <row r="35" ht="15.75" customHeight="1">
      <c r="A35" s="17" t="s">
        <v>22</v>
      </c>
    </row>
    <row r="36" ht="15.75" customHeight="1">
      <c r="A36" s="17" t="s">
        <v>23</v>
      </c>
    </row>
    <row r="37" ht="15.75" customHeight="1">
      <c r="A37" s="17" t="s">
        <v>24</v>
      </c>
    </row>
    <row r="38" ht="15.75" customHeight="1">
      <c r="A38" s="17" t="s">
        <v>25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3:AH3"/>
    <mergeCell ref="A1:AH1"/>
    <mergeCell ref="A13:AH1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2026-06-29T09:07:37Z</dcterms:created>
  <dc:creator>openpyxl</dc:creator>
  <dcterms:modified xsi:type="dcterms:W3CDTF">2026-06-29T09:07:37Z</dcterms:modified>
</cp:coreProperties>
</file>